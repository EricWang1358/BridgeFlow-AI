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合比与材料成本" sheetId="1" state="visible" r:id="rId1"/>
    <sheet name="运输泵送与制造费用" sheetId="2" state="visible" r:id="rId2"/>
    <sheet name="产能与在手订单" sheetId="3" state="visible" r:id="rId3"/>
    <sheet name="客户回款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C35 泵送混凝土配合比材料成本测算（2024-07 到厂价）</t>
        </is>
      </c>
    </row>
    <row r="2">
      <c r="A2" t="inlineStr">
        <is>
          <t>材料</t>
        </is>
      </c>
      <c r="B2" t="inlineStr">
        <is>
          <t>规格</t>
        </is>
      </c>
      <c r="C2" t="inlineStr">
        <is>
          <t>含税单价(元/吨)</t>
        </is>
      </c>
      <c r="D2" t="inlineStr">
        <is>
          <t>进项税率</t>
        </is>
      </c>
      <c r="E2" t="inlineStr">
        <is>
          <t>含量(kg/方)</t>
        </is>
      </c>
      <c r="F2" t="inlineStr">
        <is>
          <t>含税成本(元/方)</t>
        </is>
      </c>
      <c r="G2" t="inlineStr">
        <is>
          <t>不含税成本(元/方)</t>
        </is>
      </c>
    </row>
    <row r="3">
      <c r="A3" t="inlineStr">
        <is>
          <t>水泥</t>
        </is>
      </c>
      <c r="B3" t="inlineStr">
        <is>
          <t>P·O42.5</t>
        </is>
      </c>
      <c r="C3" t="n">
        <v>405</v>
      </c>
      <c r="D3" t="n">
        <v>0.13</v>
      </c>
      <c r="E3" t="n">
        <v>320</v>
      </c>
      <c r="F3" t="n">
        <v>129.6</v>
      </c>
      <c r="G3" t="n">
        <v>114.69</v>
      </c>
    </row>
    <row r="4">
      <c r="A4" t="inlineStr">
        <is>
          <t>矿粉</t>
        </is>
      </c>
      <c r="B4" t="inlineStr">
        <is>
          <t>S95</t>
        </is>
      </c>
      <c r="C4" t="n">
        <v>255</v>
      </c>
      <c r="D4" t="n">
        <v>0.13</v>
      </c>
      <c r="E4" t="n">
        <v>70</v>
      </c>
      <c r="F4" t="n">
        <v>17.85</v>
      </c>
      <c r="G4" t="n">
        <v>15.8</v>
      </c>
    </row>
    <row r="5">
      <c r="A5" t="inlineStr">
        <is>
          <t>粉煤灰</t>
        </is>
      </c>
      <c r="B5" t="inlineStr">
        <is>
          <t>F类Ⅱ级</t>
        </is>
      </c>
      <c r="C5" t="n">
        <v>150</v>
      </c>
      <c r="D5" t="n">
        <v>0.13</v>
      </c>
      <c r="E5" t="n">
        <v>70</v>
      </c>
      <c r="F5" t="n">
        <v>10.5</v>
      </c>
      <c r="G5" t="n">
        <v>9.289999999999999</v>
      </c>
    </row>
    <row r="6">
      <c r="A6" t="inlineStr">
        <is>
          <t>机制砂</t>
        </is>
      </c>
      <c r="B6" t="inlineStr">
        <is>
          <t>细度模数 2.6–3.0</t>
        </is>
      </c>
      <c r="C6" t="n">
        <v>88</v>
      </c>
      <c r="D6" t="n">
        <v>0.03</v>
      </c>
      <c r="E6" t="n">
        <v>770</v>
      </c>
      <c r="F6" t="n">
        <v>67.76000000000001</v>
      </c>
      <c r="G6" t="n">
        <v>65.79000000000001</v>
      </c>
    </row>
    <row r="7">
      <c r="A7" t="inlineStr">
        <is>
          <t>碎石</t>
        </is>
      </c>
      <c r="B7" t="inlineStr">
        <is>
          <t>5–25mm 连续级配</t>
        </is>
      </c>
      <c r="C7" t="n">
        <v>78</v>
      </c>
      <c r="D7" t="n">
        <v>0.03</v>
      </c>
      <c r="E7" t="n">
        <v>1040</v>
      </c>
      <c r="F7" t="n">
        <v>81.12</v>
      </c>
      <c r="G7" t="n">
        <v>78.76000000000001</v>
      </c>
    </row>
    <row r="8">
      <c r="A8" t="inlineStr">
        <is>
          <t>聚羧酸减水剂</t>
        </is>
      </c>
      <c r="B8" t="inlineStr">
        <is>
          <t>固含量 20%</t>
        </is>
      </c>
      <c r="C8" t="n">
        <v>2350</v>
      </c>
      <c r="D8" t="n">
        <v>0.13</v>
      </c>
      <c r="E8" t="n">
        <v>6.8</v>
      </c>
      <c r="F8" t="n">
        <v>15.98</v>
      </c>
      <c r="G8" t="n">
        <v>14.14</v>
      </c>
    </row>
    <row r="9">
      <c r="A9" t="inlineStr">
        <is>
          <t>合计</t>
        </is>
      </c>
      <c r="F9" t="n">
        <v>322.81</v>
      </c>
      <c r="G9" t="n">
        <v>298.47</v>
      </c>
    </row>
    <row r="10">
      <c r="A10" t="inlineStr">
        <is>
          <t>测算：物资部 陈刚（模拟）　复核：物资部经理（模拟）　日期：2024-07-10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项目</t>
        </is>
      </c>
      <c r="B1" t="inlineStr">
        <is>
          <t>元/方</t>
        </is>
      </c>
      <c r="C1" t="inlineStr">
        <is>
          <t>口径</t>
        </is>
      </c>
    </row>
    <row r="2">
      <c r="A2" t="inlineStr">
        <is>
          <t>运输（14 公里档）</t>
        </is>
      </c>
      <c r="B2" t="n">
        <v>22</v>
      </c>
      <c r="C2" t="inlineStr">
        <is>
          <t>罐车台班折算</t>
        </is>
      </c>
    </row>
    <row r="3">
      <c r="A3" t="inlineStr">
        <is>
          <t>泵送</t>
        </is>
      </c>
      <c r="B3" t="n">
        <v>16</v>
      </c>
      <c r="C3" t="inlineStr">
        <is>
          <t>泵车台班折算</t>
        </is>
      </c>
    </row>
    <row r="4">
      <c r="A4" t="inlineStr">
        <is>
          <t>制造费用</t>
        </is>
      </c>
      <c r="B4" t="n">
        <v>12</v>
      </c>
      <c r="C4" t="inlineStr">
        <is>
          <t>水电、人工、折旧分摊</t>
        </is>
      </c>
    </row>
    <row r="5">
      <c r="A5" t="inlineStr">
        <is>
          <t>合计</t>
        </is>
      </c>
      <c r="B5" t="n">
        <v>50</v>
      </c>
      <c r="C5" t="inlineStr">
        <is>
          <t>定价政策第一条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西区拌站 2024-08 产能测算</t>
        </is>
      </c>
    </row>
    <row r="2">
      <c r="A2" t="inlineStr">
        <is>
          <t>项目</t>
        </is>
      </c>
      <c r="B2" t="inlineStr">
        <is>
          <t>方/月</t>
        </is>
      </c>
      <c r="C2" t="inlineStr">
        <is>
          <t>说明</t>
        </is>
      </c>
    </row>
    <row r="3">
      <c r="A3" t="inlineStr">
        <is>
          <t>设计月产能</t>
        </is>
      </c>
      <c r="B3" t="n">
        <v>26000</v>
      </c>
      <c r="C3" t="inlineStr">
        <is>
          <t>HZS180 两条线 × 有效台时</t>
        </is>
      </c>
    </row>
    <row r="4">
      <c r="A4" t="inlineStr">
        <is>
          <t>保留急单产能 15%</t>
        </is>
      </c>
      <c r="B4" t="n">
        <v>-3900</v>
      </c>
      <c r="C4" t="inlineStr">
        <is>
          <t>定价政策第四条</t>
        </is>
      </c>
    </row>
    <row r="5">
      <c r="A5" t="inlineStr">
        <is>
          <t>在手订单占用</t>
        </is>
      </c>
      <c r="B5" t="n">
        <v>-18900</v>
      </c>
      <c r="C5" t="inlineStr">
        <is>
          <t>PRJ2024017 等 5 个在供项目 8 月排产</t>
        </is>
      </c>
    </row>
    <row r="6">
      <c r="A6" t="inlineStr">
        <is>
          <t>可承接方量</t>
        </is>
      </c>
      <c r="B6" t="n">
        <v>3200</v>
      </c>
      <c r="C6">
        <f> 设计 − 保留 − 占用</f>
        <v/>
      </c>
    </row>
    <row r="7">
      <c r="A7" t="inlineStr">
        <is>
          <t>新项目准备周期（天）</t>
        </is>
      </c>
      <c r="B7" t="n">
        <v>7</v>
      </c>
      <c r="C7" t="inlineStr">
        <is>
          <t>配合比试配 5 天 + 开盘鉴定 2 天</t>
        </is>
      </c>
    </row>
    <row r="8">
      <c r="A8" t="inlineStr">
        <is>
          <t>确认：生产部经理（模拟）　日期：2024-07-11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客户 CUST0211 示例城建集团有限公司 · 项目 PRJ2024017 回款记录（财务部核实）</t>
        </is>
      </c>
    </row>
    <row r="2">
      <c r="A2" t="inlineStr">
        <is>
          <t>结算月</t>
        </is>
      </c>
      <c r="B2" t="inlineStr">
        <is>
          <t>结算日</t>
        </is>
      </c>
      <c r="C2" t="inlineStr">
        <is>
          <t>结算额(元)</t>
        </is>
      </c>
      <c r="D2" t="inlineStr">
        <is>
          <t>回款日</t>
        </is>
      </c>
      <c r="E2" t="inlineStr">
        <is>
          <t>回款额(元)</t>
        </is>
      </c>
      <c r="F2" t="inlineStr">
        <is>
          <t>回款天数</t>
        </is>
      </c>
    </row>
    <row r="3">
      <c r="A3" t="inlineStr">
        <is>
          <t>2024-01</t>
        </is>
      </c>
      <c r="B3" s="2" t="n">
        <v>45316</v>
      </c>
      <c r="C3" t="n">
        <v>1215000</v>
      </c>
      <c r="D3" s="2" t="n">
        <v>45373</v>
      </c>
      <c r="E3" t="n">
        <v>972000</v>
      </c>
      <c r="F3" t="n">
        <v>57</v>
      </c>
    </row>
    <row r="4">
      <c r="A4" t="inlineStr">
        <is>
          <t>2024-02</t>
        </is>
      </c>
      <c r="B4" s="2" t="n">
        <v>45348</v>
      </c>
      <c r="C4" t="n">
        <v>850500</v>
      </c>
      <c r="D4" s="2" t="n">
        <v>45407</v>
      </c>
      <c r="E4" t="n">
        <v>680400</v>
      </c>
      <c r="F4" t="n">
        <v>59</v>
      </c>
    </row>
    <row r="5">
      <c r="A5" t="inlineStr">
        <is>
          <t>2024-03</t>
        </is>
      </c>
      <c r="B5" s="2" t="n">
        <v>45376</v>
      </c>
      <c r="C5" t="n">
        <v>1336500</v>
      </c>
      <c r="D5" s="2" t="n">
        <v>45432</v>
      </c>
      <c r="E5" t="n">
        <v>1069200</v>
      </c>
      <c r="F5" t="n">
        <v>56</v>
      </c>
    </row>
    <row r="6">
      <c r="A6" t="inlineStr">
        <is>
          <t>2024-04</t>
        </is>
      </c>
      <c r="B6" s="2" t="n">
        <v>45407</v>
      </c>
      <c r="C6" t="n">
        <v>1458000</v>
      </c>
      <c r="D6" s="2" t="n">
        <v>45467</v>
      </c>
      <c r="E6" t="n">
        <v>1166400</v>
      </c>
      <c r="F6" t="n">
        <v>60</v>
      </c>
    </row>
    <row r="7">
      <c r="A7" t="inlineStr">
        <is>
          <t>2024-05</t>
        </is>
      </c>
      <c r="B7" s="2" t="n">
        <v>45439</v>
      </c>
      <c r="C7" t="n">
        <v>1599750</v>
      </c>
      <c r="D7" s="2" t="n">
        <v>45496</v>
      </c>
      <c r="E7" t="n">
        <v>1279800</v>
      </c>
      <c r="F7" t="n">
        <v>57</v>
      </c>
    </row>
    <row r="8">
      <c r="A8" t="inlineStr">
        <is>
          <t>平均回款天数</t>
        </is>
      </c>
      <c r="F8" t="n">
        <v>57.8</v>
      </c>
    </row>
    <row r="9">
      <c r="A9" t="inlineStr">
        <is>
          <t>信用等级（定价政策第三条）</t>
        </is>
      </c>
      <c r="F9" t="inlineStr">
        <is>
          <t>B</t>
        </is>
      </c>
    </row>
    <row r="10">
      <c r="A10" t="inlineStr">
        <is>
          <t>资金占用成本（元/方）</t>
        </is>
      </c>
      <c r="F10" t="n">
        <v>8</v>
      </c>
    </row>
    <row r="11">
      <c r="A11" t="inlineStr">
        <is>
          <t>核实：财务部 周洁（模拟）　日期：2024-07-11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2026-09-13T15:42:58Z</dcterms:created>
  <dcterms:modified xsi:type="dcterms:W3CDTF">2026-09-13T15:42:58Z</dcterms:modified>
</cp:coreProperties>
</file>